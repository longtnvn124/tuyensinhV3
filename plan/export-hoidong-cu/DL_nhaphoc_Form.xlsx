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DAO TAO TU XA\Tuyen sinh\Nhap hoc\"/>
    </mc:Choice>
  </mc:AlternateContent>
  <xr:revisionPtr revIDLastSave="0" documentId="13_ncr:1_{4BC8EDE5-75F2-4563-9542-B4E935E62E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ẫu xuất full" sheetId="6" r:id="rId1"/>
  </sheets>
  <definedNames>
    <definedName name="_xlnm._FilterDatabase" localSheetId="0" hidden="1">'Mẫu xuất full'!$A$1:$AQ$6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6" l="1"/>
  <c r="A4" i="6"/>
  <c r="A2" i="6"/>
</calcChain>
</file>

<file path=xl/sharedStrings.xml><?xml version="1.0" encoding="utf-8"?>
<sst xmlns="http://schemas.openxmlformats.org/spreadsheetml/2006/main" count="130" uniqueCount="97">
  <si>
    <t>TT</t>
  </si>
  <si>
    <t>Giới tính</t>
  </si>
  <si>
    <t>Ngày sinh</t>
  </si>
  <si>
    <t>Nơi sinh</t>
  </si>
  <si>
    <t>Dân tộc</t>
  </si>
  <si>
    <t>Năm TN</t>
  </si>
  <si>
    <t>Ghi chú</t>
  </si>
  <si>
    <t>Nữ</t>
  </si>
  <si>
    <t>Kinh</t>
  </si>
  <si>
    <t>Đại học</t>
  </si>
  <si>
    <t>7480201</t>
  </si>
  <si>
    <t>Tỉnh Bắc Ninh</t>
  </si>
  <si>
    <t>Nam</t>
  </si>
  <si>
    <t>Công nghệ thông tin</t>
  </si>
  <si>
    <t>2017</t>
  </si>
  <si>
    <t>Thành phố Hà Nội</t>
  </si>
  <si>
    <t>2020</t>
  </si>
  <si>
    <t>Mã ngành
ĐKXT</t>
  </si>
  <si>
    <t>Trường CĐ Cơ điện và Xây dựng Bắc Ninh</t>
  </si>
  <si>
    <t>Đỗ Thị Nguyệt Anh</t>
  </si>
  <si>
    <t>Nguyễn Thị Hà</t>
  </si>
  <si>
    <t>Đặng Xuân Khiết</t>
  </si>
  <si>
    <t>Lê Đức Linh</t>
  </si>
  <si>
    <t>25/06/1984</t>
  </si>
  <si>
    <t>08/01/1993</t>
  </si>
  <si>
    <t>27/09/1997</t>
  </si>
  <si>
    <t>Tỉnh Thanh Hóa</t>
  </si>
  <si>
    <t>Thống kê Kinh tế - Xã hội</t>
  </si>
  <si>
    <t>Kỹ thuật công trình Xây dựng</t>
  </si>
  <si>
    <t>Truyền thông quốc tế</t>
  </si>
  <si>
    <t>Trường ĐH Xây dựng</t>
  </si>
  <si>
    <t>Học viện Ngoại giao</t>
  </si>
  <si>
    <t>2008</t>
  </si>
  <si>
    <t>Mã SV</t>
  </si>
  <si>
    <t>CCCD</t>
  </si>
  <si>
    <t>Ngày cấp</t>
  </si>
  <si>
    <t>Họ tên gộp</t>
  </si>
  <si>
    <t>Họ</t>
  </si>
  <si>
    <t>Tên</t>
  </si>
  <si>
    <t>Điện thoại</t>
  </si>
  <si>
    <t>Email ictu</t>
  </si>
  <si>
    <t>Email</t>
  </si>
  <si>
    <t>Mã tỉnh</t>
  </si>
  <si>
    <t>Mã huyện</t>
  </si>
  <si>
    <t>Mã tỉnh lớp 12</t>
  </si>
  <si>
    <t>Mã trường lớp 12</t>
  </si>
  <si>
    <t>Tên trường lớp 12</t>
  </si>
  <si>
    <t>Tên ngành
ĐKXT</t>
  </si>
  <si>
    <t>Mã Bằng THPT</t>
  </si>
  <si>
    <t xml:space="preserve">Học lực lớp 12 </t>
  </si>
  <si>
    <t>Hạnh kiểm lớp 12</t>
  </si>
  <si>
    <t>Ngành tốt nghiệp</t>
  </si>
  <si>
    <t>Địa chỉ</t>
  </si>
  <si>
    <t>Địa chỉ nhận giấy báo</t>
  </si>
  <si>
    <t>TK duyệt HS</t>
  </si>
  <si>
    <t/>
  </si>
  <si>
    <t>Phạm Thị Huyền</t>
  </si>
  <si>
    <t>Linh</t>
  </si>
  <si>
    <t>10/07/2021</t>
  </si>
  <si>
    <t>Nguyễn Thị</t>
  </si>
  <si>
    <t>Ông Trần Đình Luận - Phụ trách Khoa Ngoại ngữ, Du lịch - Trường Cao đẳng Cơ điện và Xây dựng Bắc Ninh- Số 188, Đường Nguyễn Đăng Đạo, Phường Võ Cường, Tỉnh Băc Ninh, SĐT: 034.464.2564</t>
  </si>
  <si>
    <t>027184003211</t>
  </si>
  <si>
    <t>04/03/2024</t>
  </si>
  <si>
    <t>Hà</t>
  </si>
  <si>
    <t>0983199784</t>
  </si>
  <si>
    <t>Tỉnh Bắc Ninh, Thành phố Bắc Ninh, Phường Võ Cường</t>
  </si>
  <si>
    <t>G-Đ0909576</t>
  </si>
  <si>
    <t>038093019139</t>
  </si>
  <si>
    <t>27/04/2021</t>
  </si>
  <si>
    <t>Đặng Xuân</t>
  </si>
  <si>
    <t>Khiết</t>
  </si>
  <si>
    <t>0915292668</t>
  </si>
  <si>
    <t>xuankhiet1441@gmail.com</t>
  </si>
  <si>
    <t>Tỉnh Thanh Hóa, Huyện Nga Sơn, Xã Nga Hải</t>
  </si>
  <si>
    <t>A00837792</t>
  </si>
  <si>
    <t>Phòng 3216, chung cư VP6, Linh Đàm, Hoàng Liệt, Hà Nội.</t>
  </si>
  <si>
    <t>001097005869</t>
  </si>
  <si>
    <t>Lê Đức</t>
  </si>
  <si>
    <t>0345388335</t>
  </si>
  <si>
    <t>Thành phố Hà Nội, Huyện Thanh Oai, Xã Dân Hòa</t>
  </si>
  <si>
    <t>B200590</t>
  </si>
  <si>
    <t>Nguyễn Văn Việt - Trường Đại học CNTT&amp;TT ( 0912660246)</t>
  </si>
  <si>
    <t>Nguyễn Văn Việt ICTU</t>
  </si>
  <si>
    <t>ĐH Kinh tế Quốc dân</t>
  </si>
  <si>
    <t>Đợt</t>
  </si>
  <si>
    <t>Mã Bằng chuyên môn</t>
  </si>
  <si>
    <t>Điểm xét tuyển gốc</t>
  </si>
  <si>
    <t>Điểm xét tuyển</t>
  </si>
  <si>
    <t>Điểm ƯT KV</t>
  </si>
  <si>
    <t>Điểm ƯT ĐT</t>
  </si>
  <si>
    <t>Bằng chuyên môn</t>
  </si>
  <si>
    <t>Nơi cấp bằng THPT</t>
  </si>
  <si>
    <t>Nơi cấp bằng chuyên môn</t>
  </si>
  <si>
    <t>CB tuyển sinh</t>
  </si>
  <si>
    <t>TK nhập HS</t>
  </si>
  <si>
    <t>KV ưu tiên</t>
  </si>
  <si>
    <t>ĐT ưu tiên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</si>
</sst>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49" fontId="4" fillId="0" borderId="1" xfId="0" applyNumberFormat="1" applyFont="1" applyBorder="1" applyAlignment="1">
      <alignment horizontal="center" vertical="center" wrapText="1" shrinkToFit="1"/>
    </xf>
    <xf numFmtId="49" fontId="4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 shrinkToFit="1"/>
    </xf>
    <xf numFmtId="0" fontId="1" fillId="0" borderId="1" xfId="0" applyFont="1" applyBorder="1" applyAlignment="1">
      <alignment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vertical="center" wrapTex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 shrinkToFit="1"/>
    </xf>
    <xf numFmtId="0" fontId="4" fillId="0" borderId="0" xfId="0" applyFont="1" applyAlignment="1">
      <alignment horizontal="center" vertical="center" wrapText="1"/>
    </xf>
  </cellXfs>
  <cellStyles count="3">
    <cellStyle name="Normal" xfId="0" builtinId="0"/>
    <cellStyle name="Normal 2" xfId="2" xr:uid="{5DFAE985-04E1-46CA-AE55-C2489EFB4040}"/>
    <cellStyle name="Normal 2 2" xfId="1" xr:uid="{F4704CEB-5E38-4ECA-82B8-7424BEBB8628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7DA1-127F-4EBC-BAE7-D524B3804A96}">
  <sheetPr>
    <tabColor rgb="FFFFFF00"/>
  </sheetPr>
  <dimension ref="A1:AQ5"/>
  <sheetViews>
    <sheetView tabSelected="1" zoomScale="85" zoomScaleNormal="8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12" sqref="E12"/>
    </sheetView>
  </sheetViews>
  <sheetFormatPr defaultRowHeight="30" customHeight="1" x14ac:dyDescent="0.25"/>
  <cols>
    <col min="1" max="1" width="9.28515625" style="1" bestFit="1" customWidth="1"/>
    <col min="2" max="2" width="17" style="1" bestFit="1" customWidth="1"/>
    <col min="3" max="3" width="17.140625" style="1" bestFit="1" customWidth="1"/>
    <col min="4" max="4" width="15.42578125" style="1" bestFit="1" customWidth="1"/>
    <col min="5" max="5" width="15.5703125" style="1" bestFit="1" customWidth="1"/>
    <col min="6" max="6" width="26.5703125" style="1" bestFit="1" customWidth="1"/>
    <col min="7" max="7" width="19.140625" style="1" bestFit="1" customWidth="1"/>
    <col min="8" max="8" width="10.28515625" style="1" bestFit="1" customWidth="1"/>
    <col min="9" max="9" width="16.5703125" style="1" bestFit="1" customWidth="1"/>
    <col min="10" max="10" width="15.7109375" style="15" bestFit="1" customWidth="1"/>
    <col min="11" max="11" width="14.42578125" style="15" bestFit="1" customWidth="1"/>
    <col min="12" max="12" width="24.85546875" style="1" bestFit="1" customWidth="1"/>
    <col min="13" max="13" width="17.28515625" style="11" bestFit="1" customWidth="1"/>
    <col min="14" max="14" width="28.140625" style="1" bestFit="1" customWidth="1"/>
    <col min="15" max="15" width="29.28515625" style="1" bestFit="1" customWidth="1"/>
    <col min="16" max="16" width="14.5703125" style="1" bestFit="1" customWidth="1"/>
    <col min="17" max="17" width="16.7109375" style="1" bestFit="1" customWidth="1"/>
    <col min="18" max="18" width="63.5703125" style="1" bestFit="1" customWidth="1"/>
    <col min="19" max="19" width="21.7109375" style="1" bestFit="1" customWidth="1"/>
    <col min="20" max="20" width="24.7109375" style="1" bestFit="1" customWidth="1"/>
    <col min="21" max="21" width="27.5703125" style="1" bestFit="1" customWidth="1"/>
    <col min="22" max="22" width="23.28515625" style="1" bestFit="1" customWidth="1"/>
    <col min="23" max="23" width="23.28515625" style="1" customWidth="1"/>
    <col min="24" max="24" width="16.7109375" style="15" bestFit="1" customWidth="1"/>
    <col min="25" max="25" width="20.85546875" style="15" bestFit="1" customWidth="1"/>
    <col min="26" max="28" width="25.140625" style="15" customWidth="1"/>
    <col min="29" max="29" width="20.85546875" style="15" customWidth="1"/>
    <col min="30" max="30" width="22.140625" style="1" bestFit="1" customWidth="1"/>
    <col min="31" max="31" width="22.140625" style="1" customWidth="1"/>
    <col min="32" max="32" width="21.140625" style="1" bestFit="1" customWidth="1"/>
    <col min="33" max="33" width="25.28515625" style="1" bestFit="1" customWidth="1"/>
    <col min="34" max="34" width="16.28515625" style="15" bestFit="1" customWidth="1"/>
    <col min="35" max="35" width="26.85546875" style="9" bestFit="1" customWidth="1"/>
    <col min="36" max="36" width="30.7109375" style="1" bestFit="1" customWidth="1"/>
    <col min="37" max="37" width="33.42578125" style="1" bestFit="1" customWidth="1"/>
    <col min="38" max="38" width="14.7109375" style="15" bestFit="1" customWidth="1"/>
    <col min="39" max="39" width="93.28515625" style="1" bestFit="1" customWidth="1"/>
    <col min="40" max="41" width="43.85546875" style="1" bestFit="1" customWidth="1"/>
    <col min="42" max="42" width="23.7109375" style="1" bestFit="1" customWidth="1"/>
    <col min="43" max="43" width="14.5703125" style="1" bestFit="1" customWidth="1"/>
    <col min="44" max="16384" width="9.140625" style="1"/>
  </cols>
  <sheetData>
    <row r="1" spans="1:43" ht="31.5" x14ac:dyDescent="0.25">
      <c r="A1" s="12" t="s">
        <v>0</v>
      </c>
      <c r="B1" s="12" t="s">
        <v>84</v>
      </c>
      <c r="C1" s="12" t="s">
        <v>33</v>
      </c>
      <c r="D1" s="12" t="s">
        <v>34</v>
      </c>
      <c r="E1" s="12" t="s">
        <v>35</v>
      </c>
      <c r="F1" s="13" t="s">
        <v>36</v>
      </c>
      <c r="G1" s="12" t="s">
        <v>37</v>
      </c>
      <c r="H1" s="12" t="s">
        <v>38</v>
      </c>
      <c r="I1" s="12" t="s">
        <v>2</v>
      </c>
      <c r="J1" s="12" t="s">
        <v>1</v>
      </c>
      <c r="K1" s="12" t="s">
        <v>4</v>
      </c>
      <c r="L1" s="12" t="s">
        <v>3</v>
      </c>
      <c r="M1" s="14" t="s">
        <v>39</v>
      </c>
      <c r="N1" s="12" t="s">
        <v>40</v>
      </c>
      <c r="O1" s="12" t="s">
        <v>41</v>
      </c>
      <c r="P1" s="12" t="s">
        <v>42</v>
      </c>
      <c r="Q1" s="12" t="s">
        <v>43</v>
      </c>
      <c r="R1" s="12" t="s">
        <v>52</v>
      </c>
      <c r="S1" s="12" t="s">
        <v>44</v>
      </c>
      <c r="T1" s="12" t="s">
        <v>45</v>
      </c>
      <c r="U1" s="12" t="s">
        <v>46</v>
      </c>
      <c r="V1" s="12" t="s">
        <v>95</v>
      </c>
      <c r="W1" s="12" t="s">
        <v>96</v>
      </c>
      <c r="X1" s="12" t="s">
        <v>17</v>
      </c>
      <c r="Y1" s="12" t="s">
        <v>47</v>
      </c>
      <c r="Z1" s="12" t="s">
        <v>86</v>
      </c>
      <c r="AA1" s="12" t="s">
        <v>88</v>
      </c>
      <c r="AB1" s="12" t="s">
        <v>89</v>
      </c>
      <c r="AC1" s="12" t="s">
        <v>87</v>
      </c>
      <c r="AD1" s="12" t="s">
        <v>48</v>
      </c>
      <c r="AE1" s="12" t="s">
        <v>91</v>
      </c>
      <c r="AF1" s="12" t="s">
        <v>49</v>
      </c>
      <c r="AG1" s="12" t="s">
        <v>50</v>
      </c>
      <c r="AH1" s="12" t="s">
        <v>90</v>
      </c>
      <c r="AI1" s="12" t="s">
        <v>85</v>
      </c>
      <c r="AJ1" s="12" t="s">
        <v>51</v>
      </c>
      <c r="AK1" s="12" t="s">
        <v>92</v>
      </c>
      <c r="AL1" s="12" t="s">
        <v>5</v>
      </c>
      <c r="AM1" s="12" t="s">
        <v>53</v>
      </c>
      <c r="AN1" s="12" t="s">
        <v>93</v>
      </c>
      <c r="AO1" s="12" t="s">
        <v>94</v>
      </c>
      <c r="AP1" s="12" t="s">
        <v>54</v>
      </c>
      <c r="AQ1" s="12" t="s">
        <v>6</v>
      </c>
    </row>
    <row r="2" spans="1:43" s="2" customFormat="1" ht="47.25" x14ac:dyDescent="0.25">
      <c r="A2" s="4">
        <f>SUBTOTAL(3,$B$2:B2)</f>
        <v>0</v>
      </c>
      <c r="B2" s="4"/>
      <c r="C2" s="8"/>
      <c r="D2" s="6" t="s">
        <v>61</v>
      </c>
      <c r="E2" s="5" t="s">
        <v>62</v>
      </c>
      <c r="F2" s="3" t="s">
        <v>20</v>
      </c>
      <c r="G2" s="3" t="s">
        <v>59</v>
      </c>
      <c r="H2" s="3" t="s">
        <v>63</v>
      </c>
      <c r="I2" s="5" t="s">
        <v>23</v>
      </c>
      <c r="J2" s="4" t="s">
        <v>7</v>
      </c>
      <c r="K2" s="4" t="s">
        <v>8</v>
      </c>
      <c r="L2" s="6" t="s">
        <v>11</v>
      </c>
      <c r="M2" s="7" t="s">
        <v>64</v>
      </c>
      <c r="N2" s="3"/>
      <c r="O2" s="8"/>
      <c r="P2" s="6"/>
      <c r="Q2" s="6"/>
      <c r="R2" s="3" t="s">
        <v>65</v>
      </c>
      <c r="S2" s="3" t="s">
        <v>55</v>
      </c>
      <c r="T2" s="3" t="s">
        <v>55</v>
      </c>
      <c r="U2" s="3" t="s">
        <v>55</v>
      </c>
      <c r="V2" s="3" t="s">
        <v>55</v>
      </c>
      <c r="W2" s="3"/>
      <c r="X2" s="4" t="s">
        <v>10</v>
      </c>
      <c r="Y2" s="4" t="s">
        <v>13</v>
      </c>
      <c r="Z2" s="4"/>
      <c r="AA2" s="4"/>
      <c r="AB2" s="4"/>
      <c r="AC2" s="4"/>
      <c r="AD2" s="3" t="s">
        <v>66</v>
      </c>
      <c r="AE2" s="3"/>
      <c r="AF2" s="3" t="s">
        <v>55</v>
      </c>
      <c r="AG2" s="3" t="s">
        <v>55</v>
      </c>
      <c r="AH2" s="4" t="s">
        <v>9</v>
      </c>
      <c r="AI2" s="10"/>
      <c r="AJ2" s="3" t="s">
        <v>27</v>
      </c>
      <c r="AK2" s="3" t="s">
        <v>83</v>
      </c>
      <c r="AL2" s="4" t="s">
        <v>32</v>
      </c>
      <c r="AM2" s="3" t="s">
        <v>60</v>
      </c>
      <c r="AN2" s="3" t="s">
        <v>18</v>
      </c>
      <c r="AO2" s="3" t="s">
        <v>18</v>
      </c>
      <c r="AP2" s="3" t="s">
        <v>19</v>
      </c>
      <c r="AQ2" s="8"/>
    </row>
    <row r="3" spans="1:43" s="2" customFormat="1" ht="15.75" x14ac:dyDescent="0.25">
      <c r="A3" s="4">
        <f>SUBTOTAL(3,$B$2:B3)</f>
        <v>0</v>
      </c>
      <c r="B3" s="4"/>
      <c r="C3" s="3"/>
      <c r="D3" s="6" t="s">
        <v>67</v>
      </c>
      <c r="E3" s="5" t="s">
        <v>68</v>
      </c>
      <c r="F3" s="3" t="s">
        <v>21</v>
      </c>
      <c r="G3" s="3" t="s">
        <v>69</v>
      </c>
      <c r="H3" s="3" t="s">
        <v>70</v>
      </c>
      <c r="I3" s="5" t="s">
        <v>24</v>
      </c>
      <c r="J3" s="4" t="s">
        <v>12</v>
      </c>
      <c r="K3" s="4" t="s">
        <v>8</v>
      </c>
      <c r="L3" s="6" t="s">
        <v>26</v>
      </c>
      <c r="M3" s="7" t="s">
        <v>71</v>
      </c>
      <c r="N3" s="3"/>
      <c r="O3" s="3" t="s">
        <v>72</v>
      </c>
      <c r="P3" s="6"/>
      <c r="Q3" s="6"/>
      <c r="R3" s="3" t="s">
        <v>73</v>
      </c>
      <c r="S3" s="3" t="s">
        <v>55</v>
      </c>
      <c r="T3" s="3" t="s">
        <v>55</v>
      </c>
      <c r="U3" s="3" t="s">
        <v>55</v>
      </c>
      <c r="V3" s="3" t="s">
        <v>55</v>
      </c>
      <c r="W3" s="3"/>
      <c r="X3" s="4" t="s">
        <v>10</v>
      </c>
      <c r="Y3" s="10" t="s">
        <v>13</v>
      </c>
      <c r="Z3" s="10"/>
      <c r="AA3" s="10"/>
      <c r="AB3" s="10"/>
      <c r="AC3" s="10"/>
      <c r="AD3" s="3" t="s">
        <v>74</v>
      </c>
      <c r="AE3" s="3"/>
      <c r="AF3" s="3" t="s">
        <v>55</v>
      </c>
      <c r="AG3" s="3" t="s">
        <v>55</v>
      </c>
      <c r="AH3" s="4" t="s">
        <v>9</v>
      </c>
      <c r="AI3" s="4"/>
      <c r="AJ3" s="3" t="s">
        <v>28</v>
      </c>
      <c r="AK3" s="3" t="s">
        <v>30</v>
      </c>
      <c r="AL3" s="4" t="s">
        <v>14</v>
      </c>
      <c r="AM3" s="3" t="s">
        <v>75</v>
      </c>
      <c r="AN3" s="3" t="s">
        <v>56</v>
      </c>
      <c r="AO3" s="3" t="s">
        <v>56</v>
      </c>
      <c r="AP3" s="3" t="s">
        <v>19</v>
      </c>
      <c r="AQ3" s="3" t="s">
        <v>55</v>
      </c>
    </row>
    <row r="4" spans="1:43" s="2" customFormat="1" ht="15.75" x14ac:dyDescent="0.25">
      <c r="A4" s="4">
        <f>SUBTOTAL(3,$B$2:B4)</f>
        <v>0</v>
      </c>
      <c r="B4" s="4"/>
      <c r="C4" s="8"/>
      <c r="D4" s="6" t="s">
        <v>76</v>
      </c>
      <c r="E4" s="5" t="s">
        <v>58</v>
      </c>
      <c r="F4" s="3" t="s">
        <v>22</v>
      </c>
      <c r="G4" s="3" t="s">
        <v>77</v>
      </c>
      <c r="H4" s="3" t="s">
        <v>57</v>
      </c>
      <c r="I4" s="5" t="s">
        <v>25</v>
      </c>
      <c r="J4" s="4" t="s">
        <v>12</v>
      </c>
      <c r="K4" s="4" t="s">
        <v>8</v>
      </c>
      <c r="L4" s="6" t="s">
        <v>15</v>
      </c>
      <c r="M4" s="7" t="s">
        <v>78</v>
      </c>
      <c r="N4" s="3"/>
      <c r="O4" s="3"/>
      <c r="P4" s="6"/>
      <c r="Q4" s="6"/>
      <c r="R4" s="3" t="s">
        <v>79</v>
      </c>
      <c r="S4" s="3" t="s">
        <v>55</v>
      </c>
      <c r="T4" s="3" t="s">
        <v>55</v>
      </c>
      <c r="U4" s="3" t="s">
        <v>55</v>
      </c>
      <c r="V4" s="3" t="s">
        <v>55</v>
      </c>
      <c r="W4" s="3"/>
      <c r="X4" s="4" t="s">
        <v>10</v>
      </c>
      <c r="Y4" s="10" t="s">
        <v>13</v>
      </c>
      <c r="Z4" s="10"/>
      <c r="AA4" s="10"/>
      <c r="AB4" s="10"/>
      <c r="AC4" s="10"/>
      <c r="AD4" s="3" t="s">
        <v>80</v>
      </c>
      <c r="AE4" s="3"/>
      <c r="AF4" s="3" t="s">
        <v>55</v>
      </c>
      <c r="AG4" s="3" t="s">
        <v>55</v>
      </c>
      <c r="AH4" s="4" t="s">
        <v>9</v>
      </c>
      <c r="AI4" s="4"/>
      <c r="AJ4" s="3" t="s">
        <v>29</v>
      </c>
      <c r="AK4" s="3" t="s">
        <v>31</v>
      </c>
      <c r="AL4" s="4" t="s">
        <v>16</v>
      </c>
      <c r="AM4" s="3" t="s">
        <v>81</v>
      </c>
      <c r="AN4" s="3" t="s">
        <v>82</v>
      </c>
      <c r="AO4" s="3" t="s">
        <v>82</v>
      </c>
      <c r="AP4" s="3" t="s">
        <v>19</v>
      </c>
      <c r="AQ4" s="3" t="s">
        <v>55</v>
      </c>
    </row>
    <row r="5" spans="1:43" ht="15.75" x14ac:dyDescent="0.25"/>
  </sheetData>
  <autoFilter ref="A1:AQ6" xr:uid="{F4F47DA1-127F-4EBC-BAE7-D524B3804A96}"/>
  <conditionalFormatting sqref="F1:F4">
    <cfRule type="expression" dxfId="0" priority="1">
      <formula>AND(F1&lt;&gt;"",COUNTIF(F:F,F1)&gt;1)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xuất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VPIFFT</dc:creator>
  <cp:lastModifiedBy>minh vu</cp:lastModifiedBy>
  <cp:lastPrinted>2026-07-22T03:17:29Z</cp:lastPrinted>
  <dcterms:created xsi:type="dcterms:W3CDTF">2015-06-05T18:17:20Z</dcterms:created>
  <dcterms:modified xsi:type="dcterms:W3CDTF">2026-09-09T03:23:18Z</dcterms:modified>
</cp:coreProperties>
</file>